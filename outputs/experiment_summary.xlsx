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Analytics Lectures\Capstone\part2_kpi_experiment\screenshots\"/>
    </mc:Choice>
  </mc:AlternateContent>
  <bookViews>
    <workbookView xWindow="0" yWindow="0" windowWidth="20490" windowHeight="7755" tabRatio="500"/>
  </bookViews>
  <sheets>
    <sheet name="Overall_Summary" sheetId="1" r:id="rId1"/>
    <sheet name="Segment_Region" sheetId="2" r:id="rId2"/>
    <sheet name="Segment_Device" sheetId="3" r:id="rId3"/>
    <sheet name="Segment_Traffic" sheetId="4" r:id="rId4"/>
    <sheet name="Guardrail_Metrics" sheetId="5" r:id="rId5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3" i="5" l="1"/>
  <c r="B12" i="5"/>
  <c r="D15" i="2"/>
  <c r="D14" i="2"/>
  <c r="E15" i="1"/>
  <c r="E14" i="1"/>
  <c r="E13" i="1"/>
  <c r="E12" i="1"/>
  <c r="E11" i="1"/>
  <c r="E10" i="1"/>
  <c r="E9" i="1"/>
  <c r="E8" i="1"/>
  <c r="E7" i="1"/>
  <c r="E6" i="1"/>
  <c r="E5" i="1"/>
</calcChain>
</file>

<file path=xl/sharedStrings.xml><?xml version="1.0" encoding="utf-8"?>
<sst xmlns="http://schemas.openxmlformats.org/spreadsheetml/2006/main" count="174" uniqueCount="119">
  <si>
    <t>Experiment Summary — Control vs. Treatment</t>
  </si>
  <si>
    <t>Metric</t>
  </si>
  <si>
    <t>Formula Used</t>
  </si>
  <si>
    <t>Control</t>
  </si>
  <si>
    <t>Treatment</t>
  </si>
  <si>
    <t>Absolute Diff (T-C)</t>
  </si>
  <si>
    <t>Interpretation</t>
  </si>
  <si>
    <t>Total Users</t>
  </si>
  <si>
    <t>Count of users per group</t>
  </si>
  <si>
    <t>Treatment group is slightly larger (+22 users)</t>
  </si>
  <si>
    <t>Landing Page Visit Rate</t>
  </si>
  <si>
    <t>Visited LP / Total users</t>
  </si>
  <si>
    <t>Treatment visits LP more often (+9 ppt)</t>
  </si>
  <si>
    <t>Trial Start Rate</t>
  </si>
  <si>
    <t>Started Trial / Total users</t>
  </si>
  <si>
    <t>Trial uptake improved in Treatment (+4 ppt)</t>
  </si>
  <si>
    <t>Onboarding Completion Rate</t>
  </si>
  <si>
    <t>Completed Onboarding / Total users</t>
  </si>
  <si>
    <t>Treatment completes onboarding more often (+6 ppt)</t>
  </si>
  <si>
    <t>Paid Conversion Rate</t>
  </si>
  <si>
    <t>Converted to Paid / Total users [NORTH STAR]</t>
  </si>
  <si>
    <t>Treatment more than 2x conversion rate (3.2% vs 7.0%)</t>
  </si>
  <si>
    <t>Avg Revenue Per User (ARPU)</t>
  </si>
  <si>
    <t>Total Revenue / Total users</t>
  </si>
  <si>
    <t>ARPU slightly higher in Treatment (+$2.13)</t>
  </si>
  <si>
    <t>Avg Revenue Per Converter</t>
  </si>
  <si>
    <t>Total Revenue / Converted users</t>
  </si>
  <si>
    <t>CONCERN: Rev/converter much lower in Treatment (-$859)</t>
  </si>
  <si>
    <t>Refund Rate</t>
  </si>
  <si>
    <t>Refund requests / Total users</t>
  </si>
  <si>
    <t>Treatment has non-zero refund rate (guardrail risk)</t>
  </si>
  <si>
    <t>Support Ticket Rate</t>
  </si>
  <si>
    <t>Users with tickets &gt; 0 / Total users</t>
  </si>
  <si>
    <t>CONCERN: Ticket rate much higher in Treatment (+10 ppt)</t>
  </si>
  <si>
    <t>Avg Engagement Score</t>
  </si>
  <si>
    <t>Average engagement_score by group</t>
  </si>
  <si>
    <t>Treatment shows stronger engagement (+5.9 points)</t>
  </si>
  <si>
    <t>Avg Days to Convert</t>
  </si>
  <si>
    <t>Average days_to_convert (converters only)</t>
  </si>
  <si>
    <t>Treatment converts faster (-2.5 days avg)</t>
  </si>
  <si>
    <t>Segment Analysis — By Region</t>
  </si>
  <si>
    <t>Group</t>
  </si>
  <si>
    <t>Region</t>
  </si>
  <si>
    <t>Users</t>
  </si>
  <si>
    <t>Conv Rate</t>
  </si>
  <si>
    <t>LP Visit Rate</t>
  </si>
  <si>
    <t>Trial Rate</t>
  </si>
  <si>
    <t>ARPU ($)</t>
  </si>
  <si>
    <t>Avg Engagement</t>
  </si>
  <si>
    <t>North</t>
  </si>
  <si>
    <t>Baseline: North conv rate = 3.5%</t>
  </si>
  <si>
    <t>South</t>
  </si>
  <si>
    <t>Baseline: South conv rate = 3.3%</t>
  </si>
  <si>
    <t>East</t>
  </si>
  <si>
    <t>Baseline: East conv rate = 2.5%</t>
  </si>
  <si>
    <t>West</t>
  </si>
  <si>
    <t>Baseline: West conv rate = 3.4%</t>
  </si>
  <si>
    <t>Lift vs Control: +5.4 ppt</t>
  </si>
  <si>
    <t>Lift vs Control: +4.3 ppt</t>
  </si>
  <si>
    <t>Lift vs Control: +3.9 ppt</t>
  </si>
  <si>
    <t>Lift vs Control: +1.7 ppt</t>
  </si>
  <si>
    <t>Avg Conv Rate - Control</t>
  </si>
  <si>
    <t>Avg Conv Rate - Treatment</t>
  </si>
  <si>
    <t>Segment Analysis — By Device Type</t>
  </si>
  <si>
    <t>Device Type</t>
  </si>
  <si>
    <t>Mobile</t>
  </si>
  <si>
    <t>Control baseline: 2.6% conv</t>
  </si>
  <si>
    <t>Desktop</t>
  </si>
  <si>
    <t>Control baseline: 4.5% conv</t>
  </si>
  <si>
    <t>Tablet</t>
  </si>
  <si>
    <t>Control baseline: 1.8% conv</t>
  </si>
  <si>
    <t>+4.8 ppt lift vs Control</t>
  </si>
  <si>
    <t>+2.0 ppt lift vs Control</t>
  </si>
  <si>
    <t>+5.4 ppt lift vs Control</t>
  </si>
  <si>
    <t>Segment Analysis — By Traffic Source</t>
  </si>
  <si>
    <t>Traffic Source</t>
  </si>
  <si>
    <t>Organic</t>
  </si>
  <si>
    <t>Baseline conv: 2.0%</t>
  </si>
  <si>
    <t>Paid Search</t>
  </si>
  <si>
    <t>Baseline conv: 1.3%</t>
  </si>
  <si>
    <t>Social</t>
  </si>
  <si>
    <t>Baseline conv: 7.7%</t>
  </si>
  <si>
    <t>Email</t>
  </si>
  <si>
    <t>Baseline conv: 2.7%</t>
  </si>
  <si>
    <t>Referral</t>
  </si>
  <si>
    <t>Baseline conv: 2.5%</t>
  </si>
  <si>
    <t>+4.2 ppt lift vs Control</t>
  </si>
  <si>
    <t>+5.0 ppt lift vs Control</t>
  </si>
  <si>
    <t>+-1.7 ppt lift vs Control</t>
  </si>
  <si>
    <t>+4.4 ppt lift vs Control</t>
  </si>
  <si>
    <t>Referral sees highest lift (+8.5 ppt)</t>
  </si>
  <si>
    <t>Guardrail Metrics Summary</t>
  </si>
  <si>
    <t>Guardrail Metric</t>
  </si>
  <si>
    <t>Control Value</t>
  </si>
  <si>
    <t>Treatment Value</t>
  </si>
  <si>
    <t>Change</t>
  </si>
  <si>
    <t>Threshold (Student Est.)</t>
  </si>
  <si>
    <t>Status</t>
  </si>
  <si>
    <t>Business Risk</t>
  </si>
  <si>
    <t>&lt;1.0%</t>
  </si>
  <si>
    <t>WATCH</t>
  </si>
  <si>
    <t>Treatment has refunds; control had none — small but worth monitoring</t>
  </si>
  <si>
    <t>&lt;20%</t>
  </si>
  <si>
    <t>FLAG</t>
  </si>
  <si>
    <t>Treatment ticket rate is ~70% higher than control — indicates confusion in flow</t>
  </si>
  <si>
    <t>&lt;10 days</t>
  </si>
  <si>
    <t>OK</t>
  </si>
  <si>
    <t>Treatment converts faster — positive signal, not a guardrail concern</t>
  </si>
  <si>
    <t>Rev / Converted User</t>
  </si>
  <si>
    <t>&gt;$500</t>
  </si>
  <si>
    <t>Revenue per converter is 53% lower in Treatment — revenue quality risk</t>
  </si>
  <si>
    <t>&gt;55</t>
  </si>
  <si>
    <t>Engagement is higher in Treatment — positive signal</t>
  </si>
  <si>
    <t>West Region Conv Rate</t>
  </si>
  <si>
    <t>&gt;0 ppt lift</t>
  </si>
  <si>
    <t>West still shows lift in Treatment but weakest of all regions</t>
  </si>
  <si>
    <t>Total FLAGS:</t>
  </si>
  <si>
    <t>Total WATCHes:</t>
  </si>
  <si>
    <t>A/B Test 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</si>
</sst>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1A1A2E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i/>
      <sz val="8"/>
      <color rgb="FF555555"/>
      <name val="Arial"/>
      <family val="2"/>
    </font>
    <font>
      <sz val="9"/>
      <color rgb="FF000000"/>
      <name val="Arial"/>
      <family val="2"/>
    </font>
    <font>
      <b/>
      <sz val="9"/>
      <color rgb="FF1E6B4C"/>
      <name val="Arial"/>
      <family val="2"/>
    </font>
    <font>
      <sz val="8.5"/>
      <color rgb="FF1A1A2E"/>
      <name val="Arial"/>
      <family val="2"/>
    </font>
    <font>
      <b/>
      <sz val="9"/>
      <color rgb="FF7B3F00"/>
      <name val="Arial"/>
      <family val="2"/>
    </font>
    <font>
      <b/>
      <sz val="9"/>
      <color rgb="FFB94F2E"/>
      <name val="Arial"/>
      <family val="2"/>
    </font>
    <font>
      <b/>
      <sz val="12"/>
      <color rgb="FF1A1A2E"/>
      <name val="Arial"/>
      <family val="2"/>
    </font>
    <font>
      <i/>
      <sz val="9"/>
      <color rgb="FF777777"/>
      <name val="Arial"/>
      <family val="2"/>
    </font>
    <font>
      <b/>
      <sz val="9"/>
      <name val="Arial"/>
      <family val="2"/>
    </font>
    <font>
      <b/>
      <sz val="12"/>
      <color rgb="FFB94F2E"/>
      <name val="Arial"/>
      <family val="2"/>
    </font>
    <font>
      <i/>
      <sz val="9"/>
      <color rgb="FF888888"/>
      <name val="Arial"/>
      <family val="2"/>
    </font>
    <font>
      <b/>
      <sz val="9"/>
      <color rgb="FF856404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A3A5C"/>
        <bgColor rgb="FF1A1A2E"/>
      </patternFill>
    </fill>
    <fill>
      <patternFill patternType="solid">
        <fgColor rgb="FFEAF1FB"/>
        <bgColor rgb="FFF3EEF9"/>
      </patternFill>
    </fill>
    <fill>
      <patternFill patternType="solid">
        <fgColor rgb="FFFFF3CD"/>
        <bgColor rgb="FFFDECEA"/>
      </patternFill>
    </fill>
    <fill>
      <patternFill patternType="solid">
        <fgColor rgb="FF2C5F8A"/>
        <bgColor rgb="FF1E6B4C"/>
      </patternFill>
    </fill>
    <fill>
      <patternFill patternType="solid">
        <fgColor rgb="FF7B3F9E"/>
        <bgColor rgb="FF555555"/>
      </patternFill>
    </fill>
    <fill>
      <patternFill patternType="solid">
        <fgColor rgb="FFF3EEF9"/>
        <bgColor rgb="FFEAF1FB"/>
      </patternFill>
    </fill>
    <fill>
      <patternFill patternType="solid">
        <fgColor rgb="FF1E6B4C"/>
        <bgColor rgb="FF2C5F8A"/>
      </patternFill>
    </fill>
    <fill>
      <patternFill patternType="solid">
        <fgColor rgb="FFF2F9F6"/>
        <bgColor rgb="FFEAF1FB"/>
      </patternFill>
    </fill>
    <fill>
      <patternFill patternType="solid">
        <fgColor rgb="FFB94F2E"/>
        <bgColor rgb="FF856404"/>
      </patternFill>
    </fill>
    <fill>
      <patternFill patternType="solid">
        <fgColor rgb="FFFDECEA"/>
        <bgColor rgb="FFF3EEF9"/>
      </patternFill>
    </fill>
    <fill>
      <patternFill patternType="solid">
        <fgColor rgb="FFFFD6D6"/>
        <bgColor rgb="FFFDECEA"/>
      </patternFill>
    </fill>
    <fill>
      <patternFill patternType="solid">
        <fgColor rgb="FFD4EDDA"/>
        <bgColor rgb="FFEAF1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4" fontId="6" fillId="0" borderId="0" xfId="0" applyNumberFormat="1" applyFont="1" applyAlignment="1">
      <alignment horizontal="center" vertical="center"/>
    </xf>
    <xf numFmtId="4" fontId="7" fillId="0" borderId="0" xfId="0" applyNumberFormat="1" applyFont="1"/>
    <xf numFmtId="0" fontId="8" fillId="0" borderId="0" xfId="0" applyFont="1" applyAlignment="1">
      <alignment vertical="center" wrapText="1"/>
    </xf>
    <xf numFmtId="0" fontId="4" fillId="3" borderId="0" xfId="0" applyFont="1" applyFill="1"/>
    <xf numFmtId="0" fontId="5" fillId="3" borderId="0" xfId="0" applyFont="1" applyFill="1"/>
    <xf numFmtId="164" fontId="6" fillId="3" borderId="0" xfId="0" applyNumberFormat="1" applyFont="1" applyFill="1" applyAlignment="1">
      <alignment horizontal="center" vertical="center"/>
    </xf>
    <xf numFmtId="164" fontId="7" fillId="3" borderId="0" xfId="0" applyNumberFormat="1" applyFont="1" applyFill="1"/>
    <xf numFmtId="0" fontId="8" fillId="3" borderId="0" xfId="0" applyFont="1" applyFill="1" applyAlignment="1">
      <alignment vertical="center" wrapText="1"/>
    </xf>
    <xf numFmtId="164" fontId="6" fillId="0" borderId="0" xfId="0" applyNumberFormat="1" applyFont="1" applyAlignment="1">
      <alignment horizontal="center" vertical="center"/>
    </xf>
    <xf numFmtId="164" fontId="7" fillId="0" borderId="0" xfId="0" applyNumberFormat="1" applyFont="1"/>
    <xf numFmtId="0" fontId="9" fillId="4" borderId="0" xfId="0" applyFont="1" applyFill="1"/>
    <xf numFmtId="164" fontId="9" fillId="4" borderId="0" xfId="0" applyNumberFormat="1" applyFont="1" applyFill="1" applyAlignment="1">
      <alignment horizontal="center" vertical="center"/>
    </xf>
    <xf numFmtId="164" fontId="9" fillId="4" borderId="0" xfId="0" applyNumberFormat="1" applyFont="1" applyFill="1"/>
    <xf numFmtId="0" fontId="9" fillId="4" borderId="0" xfId="0" applyFont="1" applyFill="1" applyAlignment="1">
      <alignment vertical="center" wrapText="1"/>
    </xf>
    <xf numFmtId="4" fontId="6" fillId="3" borderId="0" xfId="0" applyNumberFormat="1" applyFont="1" applyFill="1" applyAlignment="1">
      <alignment horizontal="center" vertical="center"/>
    </xf>
    <xf numFmtId="4" fontId="10" fillId="0" borderId="0" xfId="0" applyNumberFormat="1" applyFont="1"/>
    <xf numFmtId="164" fontId="10" fillId="0" borderId="0" xfId="0" applyNumberFormat="1" applyFont="1"/>
    <xf numFmtId="0" fontId="11" fillId="0" borderId="0" xfId="0" applyFont="1"/>
    <xf numFmtId="0" fontId="12" fillId="0" borderId="0" xfId="0" applyFont="1"/>
    <xf numFmtId="0" fontId="3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13" fillId="0" borderId="0" xfId="0" applyFont="1"/>
    <xf numFmtId="0" fontId="3" fillId="6" borderId="0" xfId="0" applyFont="1" applyFill="1" applyAlignment="1">
      <alignment horizontal="center" vertical="center" wrapText="1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 wrapText="1"/>
    </xf>
    <xf numFmtId="0" fontId="14" fillId="0" borderId="0" xfId="0" applyFont="1"/>
    <xf numFmtId="0" fontId="15" fillId="0" borderId="0" xfId="0" applyFont="1"/>
    <xf numFmtId="0" fontId="3" fillId="10" borderId="0" xfId="0" applyFont="1" applyFill="1" applyAlignment="1">
      <alignment horizontal="center" vertical="center" wrapText="1"/>
    </xf>
    <xf numFmtId="0" fontId="16" fillId="4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4" fillId="11" borderId="0" xfId="0" applyFont="1" applyFill="1" applyAlignment="1">
      <alignment horizontal="center" vertical="center" wrapText="1"/>
    </xf>
    <xf numFmtId="0" fontId="7" fillId="13" borderId="0" xfId="0" applyFont="1" applyFill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56404"/>
      <rgbColor rgb="FF800080"/>
      <rgbColor rgb="FF1E6B4C"/>
      <rgbColor rgb="FFC0C0C0"/>
      <rgbColor rgb="FF888888"/>
      <rgbColor rgb="FF9999FF"/>
      <rgbColor rgb="FF7B3F9E"/>
      <rgbColor rgb="FFFFF3CD"/>
      <rgbColor rgb="FFEAF1FB"/>
      <rgbColor rgb="FF660066"/>
      <rgbColor rgb="FFFF8080"/>
      <rgbColor rgb="FF2C5F8A"/>
      <rgbColor rgb="FFF3EEF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9F6"/>
      <rgbColor rgb="FFD4EDDA"/>
      <rgbColor rgb="FFFDECEA"/>
      <rgbColor rgb="FF99CCFF"/>
      <rgbColor rgb="FFFF99CC"/>
      <rgbColor rgb="FFCC99FF"/>
      <rgbColor rgb="FFFFD6D6"/>
      <rgbColor rgb="FF3366FF"/>
      <rgbColor rgb="FF33CCCC"/>
      <rgbColor rgb="FF99CC00"/>
      <rgbColor rgb="FFFFCC00"/>
      <rgbColor rgb="FFFF9900"/>
      <rgbColor rgb="FFFF6600"/>
      <rgbColor rgb="FF777777"/>
      <rgbColor rgb="FF969696"/>
      <rgbColor rgb="FF1A3A5C"/>
      <rgbColor rgb="FF339966"/>
      <rgbColor rgb="FF003300"/>
      <rgbColor rgb="FF333300"/>
      <rgbColor rgb="FF7B3F00"/>
      <rgbColor rgb="FFB94F2E"/>
      <rgbColor rgb="FF555555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Normal="100" workbookViewId="0">
      <selection activeCell="B9" sqref="B9"/>
    </sheetView>
  </sheetViews>
  <sheetFormatPr defaultColWidth="8.7109375" defaultRowHeight="15" x14ac:dyDescent="0.25"/>
  <cols>
    <col min="1" max="1" width="30" customWidth="1"/>
    <col min="2" max="2" width="38" customWidth="1"/>
    <col min="3" max="4" width="14" customWidth="1"/>
    <col min="5" max="5" width="18" customWidth="1"/>
    <col min="6" max="6" width="52" customWidth="1"/>
  </cols>
  <sheetData>
    <row r="1" spans="1:6" ht="16.5" x14ac:dyDescent="0.25">
      <c r="A1" s="1" t="s">
        <v>0</v>
      </c>
    </row>
    <row r="2" spans="1:6" x14ac:dyDescent="0.25">
      <c r="A2" s="44" t="s">
        <v>118</v>
      </c>
    </row>
    <row r="4" spans="1:6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</row>
    <row r="5" spans="1:6" x14ac:dyDescent="0.25">
      <c r="A5" s="3" t="s">
        <v>7</v>
      </c>
      <c r="B5" s="4" t="s">
        <v>8</v>
      </c>
      <c r="C5" s="5">
        <v>693</v>
      </c>
      <c r="D5" s="5">
        <v>715</v>
      </c>
      <c r="E5" s="6">
        <f t="shared" ref="E5:E15" si="0">D5-C5</f>
        <v>22</v>
      </c>
      <c r="F5" s="7" t="s">
        <v>9</v>
      </c>
    </row>
    <row r="6" spans="1:6" x14ac:dyDescent="0.25">
      <c r="A6" s="8" t="s">
        <v>10</v>
      </c>
      <c r="B6" s="9" t="s">
        <v>11</v>
      </c>
      <c r="C6" s="10">
        <v>0.63639999999999997</v>
      </c>
      <c r="D6" s="10">
        <v>0.72589999999999999</v>
      </c>
      <c r="E6" s="11">
        <f t="shared" si="0"/>
        <v>8.9500000000000024E-2</v>
      </c>
      <c r="F6" s="12" t="s">
        <v>12</v>
      </c>
    </row>
    <row r="7" spans="1:6" x14ac:dyDescent="0.25">
      <c r="A7" s="3" t="s">
        <v>13</v>
      </c>
      <c r="B7" s="4" t="s">
        <v>14</v>
      </c>
      <c r="C7" s="13">
        <v>0.25109999999999999</v>
      </c>
      <c r="D7" s="13">
        <v>0.29089999999999999</v>
      </c>
      <c r="E7" s="14">
        <f t="shared" si="0"/>
        <v>3.9800000000000002E-2</v>
      </c>
      <c r="F7" s="7" t="s">
        <v>15</v>
      </c>
    </row>
    <row r="8" spans="1:6" x14ac:dyDescent="0.25">
      <c r="A8" s="8" t="s">
        <v>16</v>
      </c>
      <c r="B8" s="9" t="s">
        <v>17</v>
      </c>
      <c r="C8" s="10">
        <v>0.15579999999999999</v>
      </c>
      <c r="D8" s="10">
        <v>0.21260000000000001</v>
      </c>
      <c r="E8" s="11">
        <f t="shared" si="0"/>
        <v>5.6800000000000017E-2</v>
      </c>
      <c r="F8" s="12" t="s">
        <v>18</v>
      </c>
    </row>
    <row r="9" spans="1:6" ht="19.5" customHeight="1" x14ac:dyDescent="0.25">
      <c r="A9" s="15" t="s">
        <v>19</v>
      </c>
      <c r="B9" s="15" t="s">
        <v>20</v>
      </c>
      <c r="C9" s="16">
        <v>3.1699999999999999E-2</v>
      </c>
      <c r="D9" s="16">
        <v>6.9900000000000004E-2</v>
      </c>
      <c r="E9" s="17">
        <f t="shared" si="0"/>
        <v>3.8200000000000005E-2</v>
      </c>
      <c r="F9" s="18" t="s">
        <v>21</v>
      </c>
    </row>
    <row r="10" spans="1:6" x14ac:dyDescent="0.25">
      <c r="A10" s="8" t="s">
        <v>22</v>
      </c>
      <c r="B10" s="9" t="s">
        <v>23</v>
      </c>
      <c r="C10" s="19">
        <v>51.75</v>
      </c>
      <c r="D10" s="19">
        <v>53.88</v>
      </c>
      <c r="E10" s="11">
        <f t="shared" si="0"/>
        <v>2.1300000000000026</v>
      </c>
      <c r="F10" s="12" t="s">
        <v>24</v>
      </c>
    </row>
    <row r="11" spans="1:6" x14ac:dyDescent="0.25">
      <c r="A11" s="3" t="s">
        <v>25</v>
      </c>
      <c r="B11" s="4" t="s">
        <v>26</v>
      </c>
      <c r="C11" s="5">
        <v>1630.1</v>
      </c>
      <c r="D11" s="5">
        <v>770.41</v>
      </c>
      <c r="E11" s="20">
        <f t="shared" si="0"/>
        <v>-859.68999999999994</v>
      </c>
      <c r="F11" s="7" t="s">
        <v>27</v>
      </c>
    </row>
    <row r="12" spans="1:6" x14ac:dyDescent="0.25">
      <c r="A12" s="8" t="s">
        <v>28</v>
      </c>
      <c r="B12" s="9" t="s">
        <v>29</v>
      </c>
      <c r="C12" s="10">
        <v>0</v>
      </c>
      <c r="D12" s="10">
        <v>4.1999999999999997E-3</v>
      </c>
      <c r="E12" s="11">
        <f t="shared" si="0"/>
        <v>4.1999999999999997E-3</v>
      </c>
      <c r="F12" s="12" t="s">
        <v>30</v>
      </c>
    </row>
    <row r="13" spans="1:6" x14ac:dyDescent="0.25">
      <c r="A13" s="3" t="s">
        <v>31</v>
      </c>
      <c r="B13" s="4" t="s">
        <v>32</v>
      </c>
      <c r="C13" s="13">
        <v>0.1472</v>
      </c>
      <c r="D13" s="13">
        <v>0.24759999999999999</v>
      </c>
      <c r="E13" s="14">
        <f t="shared" si="0"/>
        <v>0.10039999999999999</v>
      </c>
      <c r="F13" s="7" t="s">
        <v>33</v>
      </c>
    </row>
    <row r="14" spans="1:6" x14ac:dyDescent="0.25">
      <c r="A14" s="8" t="s">
        <v>34</v>
      </c>
      <c r="B14" s="9" t="s">
        <v>35</v>
      </c>
      <c r="C14" s="19">
        <v>57.03</v>
      </c>
      <c r="D14" s="19">
        <v>62.93</v>
      </c>
      <c r="E14" s="11">
        <f t="shared" si="0"/>
        <v>5.8999999999999986</v>
      </c>
      <c r="F14" s="12" t="s">
        <v>36</v>
      </c>
    </row>
    <row r="15" spans="1:6" x14ac:dyDescent="0.25">
      <c r="A15" s="3" t="s">
        <v>37</v>
      </c>
      <c r="B15" s="4" t="s">
        <v>38</v>
      </c>
      <c r="C15" s="13">
        <v>8.86</v>
      </c>
      <c r="D15" s="13">
        <v>6.4</v>
      </c>
      <c r="E15" s="21">
        <f t="shared" si="0"/>
        <v>-2.4599999999999991</v>
      </c>
      <c r="F15" s="7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13" customWidth="1"/>
    <col min="2" max="2" width="10" customWidth="1"/>
    <col min="3" max="3" width="9" customWidth="1"/>
    <col min="4" max="4" width="12" customWidth="1"/>
    <col min="5" max="5" width="14" customWidth="1"/>
    <col min="6" max="7" width="12" customWidth="1"/>
    <col min="8" max="8" width="15" customWidth="1"/>
    <col min="9" max="9" width="45" customWidth="1"/>
  </cols>
  <sheetData>
    <row r="1" spans="1:9" ht="15.75" x14ac:dyDescent="0.25">
      <c r="A1" s="22" t="s">
        <v>40</v>
      </c>
    </row>
    <row r="2" spans="1:9" x14ac:dyDescent="0.25">
      <c r="A2" s="23"/>
    </row>
    <row r="4" spans="1:9" ht="25.5" x14ac:dyDescent="0.25">
      <c r="A4" s="24" t="s">
        <v>41</v>
      </c>
      <c r="B4" s="24" t="s">
        <v>42</v>
      </c>
      <c r="C4" s="24" t="s">
        <v>43</v>
      </c>
      <c r="D4" s="24" t="s">
        <v>44</v>
      </c>
      <c r="E4" s="24" t="s">
        <v>45</v>
      </c>
      <c r="F4" s="24" t="s">
        <v>46</v>
      </c>
      <c r="G4" s="24" t="s">
        <v>47</v>
      </c>
      <c r="H4" s="24" t="s">
        <v>48</v>
      </c>
      <c r="I4" s="24" t="s">
        <v>6</v>
      </c>
    </row>
    <row r="5" spans="1:9" x14ac:dyDescent="0.25">
      <c r="A5" s="25" t="s">
        <v>3</v>
      </c>
      <c r="B5" s="25" t="s">
        <v>49</v>
      </c>
      <c r="C5" s="25">
        <v>203</v>
      </c>
      <c r="D5" s="25">
        <v>3.4500000000000003E-2</v>
      </c>
      <c r="E5" s="25">
        <v>0.61580000000000001</v>
      </c>
      <c r="F5" s="25">
        <v>0.2069</v>
      </c>
      <c r="G5" s="25">
        <v>83.67</v>
      </c>
      <c r="H5" s="25">
        <v>57.54</v>
      </c>
      <c r="I5" s="26" t="s">
        <v>50</v>
      </c>
    </row>
    <row r="6" spans="1:9" x14ac:dyDescent="0.25">
      <c r="A6" s="27" t="s">
        <v>3</v>
      </c>
      <c r="B6" s="27" t="s">
        <v>51</v>
      </c>
      <c r="C6" s="27">
        <v>184</v>
      </c>
      <c r="D6" s="27">
        <v>3.2599999999999997E-2</v>
      </c>
      <c r="E6" s="27">
        <v>0.60870000000000002</v>
      </c>
      <c r="F6" s="27">
        <v>0.2228</v>
      </c>
      <c r="G6" s="27">
        <v>76.03</v>
      </c>
      <c r="H6" s="27">
        <v>56.9</v>
      </c>
      <c r="I6" s="28" t="s">
        <v>52</v>
      </c>
    </row>
    <row r="7" spans="1:9" x14ac:dyDescent="0.25">
      <c r="A7" s="25" t="s">
        <v>3</v>
      </c>
      <c r="B7" s="25" t="s">
        <v>53</v>
      </c>
      <c r="C7" s="25">
        <v>158</v>
      </c>
      <c r="D7" s="25">
        <v>2.53E-2</v>
      </c>
      <c r="E7" s="25">
        <v>0.65820000000000001</v>
      </c>
      <c r="F7" s="25">
        <v>0.29749999999999999</v>
      </c>
      <c r="G7" s="25">
        <v>18.12</v>
      </c>
      <c r="H7" s="25">
        <v>56.63</v>
      </c>
      <c r="I7" s="26" t="s">
        <v>54</v>
      </c>
    </row>
    <row r="8" spans="1:9" x14ac:dyDescent="0.25">
      <c r="A8" s="27" t="s">
        <v>3</v>
      </c>
      <c r="B8" s="27" t="s">
        <v>55</v>
      </c>
      <c r="C8" s="27">
        <v>148</v>
      </c>
      <c r="D8" s="27">
        <v>3.3799999999999997E-2</v>
      </c>
      <c r="E8" s="27">
        <v>0.67569999999999997</v>
      </c>
      <c r="F8" s="27">
        <v>0.29730000000000001</v>
      </c>
      <c r="G8" s="27">
        <v>13.68</v>
      </c>
      <c r="H8" s="27">
        <v>56.9</v>
      </c>
      <c r="I8" s="28" t="s">
        <v>56</v>
      </c>
    </row>
    <row r="9" spans="1:9" x14ac:dyDescent="0.25">
      <c r="A9" s="25" t="s">
        <v>4</v>
      </c>
      <c r="B9" s="25" t="s">
        <v>49</v>
      </c>
      <c r="C9" s="25">
        <v>180</v>
      </c>
      <c r="D9" s="25">
        <v>8.8900000000000007E-2</v>
      </c>
      <c r="E9" s="25">
        <v>0.7</v>
      </c>
      <c r="F9" s="25">
        <v>0.2944</v>
      </c>
      <c r="G9" s="25">
        <v>80.97</v>
      </c>
      <c r="H9" s="25">
        <v>63.15</v>
      </c>
      <c r="I9" s="26" t="s">
        <v>57</v>
      </c>
    </row>
    <row r="10" spans="1:9" x14ac:dyDescent="0.25">
      <c r="A10" s="27" t="s">
        <v>4</v>
      </c>
      <c r="B10" s="27" t="s">
        <v>51</v>
      </c>
      <c r="C10" s="27">
        <v>184</v>
      </c>
      <c r="D10" s="27">
        <v>7.6100000000000001E-2</v>
      </c>
      <c r="E10" s="27">
        <v>0.77170000000000005</v>
      </c>
      <c r="F10" s="27">
        <v>0.33150000000000002</v>
      </c>
      <c r="G10" s="27">
        <v>47</v>
      </c>
      <c r="H10" s="27">
        <v>62.16</v>
      </c>
      <c r="I10" s="28" t="s">
        <v>58</v>
      </c>
    </row>
    <row r="11" spans="1:9" x14ac:dyDescent="0.25">
      <c r="A11" s="25" t="s">
        <v>4</v>
      </c>
      <c r="B11" s="25" t="s">
        <v>53</v>
      </c>
      <c r="C11" s="25">
        <v>172</v>
      </c>
      <c r="D11" s="25">
        <v>6.4000000000000001E-2</v>
      </c>
      <c r="E11" s="25">
        <v>0.75</v>
      </c>
      <c r="F11" s="25">
        <v>0.29649999999999999</v>
      </c>
      <c r="G11" s="25">
        <v>46.5</v>
      </c>
      <c r="H11" s="25">
        <v>63.19</v>
      </c>
      <c r="I11" s="26" t="s">
        <v>59</v>
      </c>
    </row>
    <row r="12" spans="1:9" x14ac:dyDescent="0.25">
      <c r="A12" s="27" t="s">
        <v>4</v>
      </c>
      <c r="B12" s="27" t="s">
        <v>55</v>
      </c>
      <c r="C12" s="27">
        <v>179</v>
      </c>
      <c r="D12" s="27">
        <v>5.0299999999999997E-2</v>
      </c>
      <c r="E12" s="27">
        <v>0.68159999999999998</v>
      </c>
      <c r="F12" s="27">
        <v>0.2402</v>
      </c>
      <c r="G12" s="27">
        <v>40.78</v>
      </c>
      <c r="H12" s="27">
        <v>63.26</v>
      </c>
      <c r="I12" s="28" t="s">
        <v>60</v>
      </c>
    </row>
    <row r="14" spans="1:9" x14ac:dyDescent="0.25">
      <c r="A14" s="29" t="s">
        <v>61</v>
      </c>
      <c r="D14" s="3">
        <f>AVERAGEIF(A5:A12,"Control",D5:D12)</f>
        <v>3.1549999999999995E-2</v>
      </c>
    </row>
    <row r="15" spans="1:9" x14ac:dyDescent="0.25">
      <c r="A15" s="29" t="s">
        <v>62</v>
      </c>
      <c r="D15" s="3">
        <f>AVERAGEIF(A5:A12,"Treatment",D5:D12)</f>
        <v>6.9824999999999998E-2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zoomScaleNormal="100" workbookViewId="0"/>
  </sheetViews>
  <sheetFormatPr defaultColWidth="8.7109375" defaultRowHeight="15" x14ac:dyDescent="0.25"/>
  <cols>
    <col min="1" max="1" width="13" customWidth="1"/>
    <col min="2" max="2" width="14" customWidth="1"/>
    <col min="3" max="3" width="9" customWidth="1"/>
    <col min="4" max="4" width="12" customWidth="1"/>
    <col min="5" max="5" width="14" customWidth="1"/>
    <col min="6" max="6" width="15" customWidth="1"/>
    <col min="7" max="7" width="42" customWidth="1"/>
  </cols>
  <sheetData>
    <row r="1" spans="1:7" ht="15.75" x14ac:dyDescent="0.25">
      <c r="A1" s="22" t="s">
        <v>63</v>
      </c>
    </row>
    <row r="4" spans="1:7" ht="25.5" x14ac:dyDescent="0.25">
      <c r="A4" s="30" t="s">
        <v>41</v>
      </c>
      <c r="B4" s="30" t="s">
        <v>64</v>
      </c>
      <c r="C4" s="30" t="s">
        <v>43</v>
      </c>
      <c r="D4" s="30" t="s">
        <v>44</v>
      </c>
      <c r="E4" s="30" t="s">
        <v>45</v>
      </c>
      <c r="F4" s="30" t="s">
        <v>48</v>
      </c>
      <c r="G4" s="30" t="s">
        <v>6</v>
      </c>
    </row>
    <row r="5" spans="1:7" x14ac:dyDescent="0.25">
      <c r="A5" s="25" t="s">
        <v>3</v>
      </c>
      <c r="B5" s="25" t="s">
        <v>65</v>
      </c>
      <c r="C5" s="25">
        <v>428</v>
      </c>
      <c r="D5" s="25">
        <v>2.5700000000000001E-2</v>
      </c>
      <c r="E5" s="25">
        <v>0.61450000000000005</v>
      </c>
      <c r="F5" s="25">
        <v>57.35</v>
      </c>
      <c r="G5" s="26" t="s">
        <v>66</v>
      </c>
    </row>
    <row r="6" spans="1:7" x14ac:dyDescent="0.25">
      <c r="A6" s="31" t="s">
        <v>3</v>
      </c>
      <c r="B6" s="31" t="s">
        <v>67</v>
      </c>
      <c r="C6" s="31">
        <v>200</v>
      </c>
      <c r="D6" s="31">
        <v>4.4999999999999998E-2</v>
      </c>
      <c r="E6" s="31">
        <v>0.66</v>
      </c>
      <c r="F6" s="31">
        <v>57.21</v>
      </c>
      <c r="G6" s="32" t="s">
        <v>68</v>
      </c>
    </row>
    <row r="7" spans="1:7" x14ac:dyDescent="0.25">
      <c r="A7" s="25" t="s">
        <v>3</v>
      </c>
      <c r="B7" s="25" t="s">
        <v>69</v>
      </c>
      <c r="C7" s="25">
        <v>56</v>
      </c>
      <c r="D7" s="25">
        <v>1.7899999999999999E-2</v>
      </c>
      <c r="E7" s="25">
        <v>0.66069999999999995</v>
      </c>
      <c r="F7" s="25">
        <v>55.76</v>
      </c>
      <c r="G7" s="26" t="s">
        <v>70</v>
      </c>
    </row>
    <row r="8" spans="1:7" x14ac:dyDescent="0.25">
      <c r="A8" s="31" t="s">
        <v>4</v>
      </c>
      <c r="B8" s="31" t="s">
        <v>65</v>
      </c>
      <c r="C8" s="31">
        <v>436</v>
      </c>
      <c r="D8" s="31">
        <v>7.3400000000000007E-2</v>
      </c>
      <c r="E8" s="31">
        <v>0.71330000000000005</v>
      </c>
      <c r="F8" s="31">
        <v>62.78</v>
      </c>
      <c r="G8" s="32" t="s">
        <v>71</v>
      </c>
    </row>
    <row r="9" spans="1:7" x14ac:dyDescent="0.25">
      <c r="A9" s="25" t="s">
        <v>4</v>
      </c>
      <c r="B9" s="25" t="s">
        <v>67</v>
      </c>
      <c r="C9" s="25">
        <v>214</v>
      </c>
      <c r="D9" s="25">
        <v>6.54E-2</v>
      </c>
      <c r="E9" s="25">
        <v>0.76170000000000004</v>
      </c>
      <c r="F9" s="25">
        <v>63.25</v>
      </c>
      <c r="G9" s="26" t="s">
        <v>72</v>
      </c>
    </row>
    <row r="10" spans="1:7" x14ac:dyDescent="0.25">
      <c r="A10" s="31" t="s">
        <v>4</v>
      </c>
      <c r="B10" s="31" t="s">
        <v>69</v>
      </c>
      <c r="C10" s="31">
        <v>56</v>
      </c>
      <c r="D10" s="31">
        <v>7.1400000000000005E-2</v>
      </c>
      <c r="E10" s="31">
        <v>0.66069999999999995</v>
      </c>
      <c r="F10" s="31">
        <v>63.01</v>
      </c>
      <c r="G10" s="32" t="s">
        <v>73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zoomScaleNormal="100" workbookViewId="0"/>
  </sheetViews>
  <sheetFormatPr defaultColWidth="8.7109375" defaultRowHeight="15" x14ac:dyDescent="0.25"/>
  <cols>
    <col min="1" max="1" width="13" customWidth="1"/>
    <col min="2" max="2" width="16" customWidth="1"/>
    <col min="3" max="3" width="9" customWidth="1"/>
    <col min="4" max="4" width="12" customWidth="1"/>
    <col min="5" max="5" width="15" customWidth="1"/>
    <col min="6" max="6" width="52" customWidth="1"/>
  </cols>
  <sheetData>
    <row r="1" spans="1:6" ht="15.75" x14ac:dyDescent="0.25">
      <c r="A1" s="22" t="s">
        <v>74</v>
      </c>
    </row>
    <row r="4" spans="1:6" ht="25.5" x14ac:dyDescent="0.25">
      <c r="A4" s="33" t="s">
        <v>41</v>
      </c>
      <c r="B4" s="33" t="s">
        <v>75</v>
      </c>
      <c r="C4" s="33" t="s">
        <v>43</v>
      </c>
      <c r="D4" s="33" t="s">
        <v>44</v>
      </c>
      <c r="E4" s="33" t="s">
        <v>48</v>
      </c>
      <c r="F4" s="33" t="s">
        <v>6</v>
      </c>
    </row>
    <row r="5" spans="1:6" x14ac:dyDescent="0.25">
      <c r="A5" s="25" t="s">
        <v>3</v>
      </c>
      <c r="B5" s="25" t="s">
        <v>76</v>
      </c>
      <c r="C5" s="25">
        <v>246</v>
      </c>
      <c r="D5" s="25">
        <v>2.0299999999999999E-2</v>
      </c>
      <c r="E5" s="25">
        <v>58.45</v>
      </c>
      <c r="F5" s="26" t="s">
        <v>77</v>
      </c>
    </row>
    <row r="6" spans="1:6" x14ac:dyDescent="0.25">
      <c r="A6" s="34" t="s">
        <v>3</v>
      </c>
      <c r="B6" s="34" t="s">
        <v>78</v>
      </c>
      <c r="C6" s="34">
        <v>156</v>
      </c>
      <c r="D6" s="34">
        <v>1.2800000000000001E-2</v>
      </c>
      <c r="E6" s="34">
        <v>54.57</v>
      </c>
      <c r="F6" s="35" t="s">
        <v>79</v>
      </c>
    </row>
    <row r="7" spans="1:6" x14ac:dyDescent="0.25">
      <c r="A7" s="25" t="s">
        <v>3</v>
      </c>
      <c r="B7" s="25" t="s">
        <v>80</v>
      </c>
      <c r="C7" s="25">
        <v>130</v>
      </c>
      <c r="D7" s="25">
        <v>7.6899999999999996E-2</v>
      </c>
      <c r="E7" s="25">
        <v>55.91</v>
      </c>
      <c r="F7" s="26" t="s">
        <v>81</v>
      </c>
    </row>
    <row r="8" spans="1:6" x14ac:dyDescent="0.25">
      <c r="A8" s="34" t="s">
        <v>3</v>
      </c>
      <c r="B8" s="34" t="s">
        <v>82</v>
      </c>
      <c r="C8" s="34">
        <v>74</v>
      </c>
      <c r="D8" s="34">
        <v>2.7E-2</v>
      </c>
      <c r="E8" s="34">
        <v>57.83</v>
      </c>
      <c r="F8" s="35" t="s">
        <v>83</v>
      </c>
    </row>
    <row r="9" spans="1:6" x14ac:dyDescent="0.25">
      <c r="A9" s="25" t="s">
        <v>3</v>
      </c>
      <c r="B9" s="25" t="s">
        <v>84</v>
      </c>
      <c r="C9" s="25">
        <v>81</v>
      </c>
      <c r="D9" s="25">
        <v>2.47E-2</v>
      </c>
      <c r="E9" s="25">
        <v>58.37</v>
      </c>
      <c r="F9" s="26" t="s">
        <v>85</v>
      </c>
    </row>
    <row r="10" spans="1:6" x14ac:dyDescent="0.25">
      <c r="A10" s="34" t="s">
        <v>4</v>
      </c>
      <c r="B10" s="34" t="s">
        <v>76</v>
      </c>
      <c r="C10" s="34">
        <v>241</v>
      </c>
      <c r="D10" s="34">
        <v>6.2199999999999998E-2</v>
      </c>
      <c r="E10" s="34">
        <v>61.54</v>
      </c>
      <c r="F10" s="35" t="s">
        <v>86</v>
      </c>
    </row>
    <row r="11" spans="1:6" x14ac:dyDescent="0.25">
      <c r="A11" s="25" t="s">
        <v>4</v>
      </c>
      <c r="B11" s="25" t="s">
        <v>78</v>
      </c>
      <c r="C11" s="25">
        <v>176</v>
      </c>
      <c r="D11" s="25">
        <v>6.25E-2</v>
      </c>
      <c r="E11" s="25">
        <v>62.83</v>
      </c>
      <c r="F11" s="26" t="s">
        <v>87</v>
      </c>
    </row>
    <row r="12" spans="1:6" x14ac:dyDescent="0.25">
      <c r="A12" s="34" t="s">
        <v>4</v>
      </c>
      <c r="B12" s="34" t="s">
        <v>80</v>
      </c>
      <c r="C12" s="34">
        <v>133</v>
      </c>
      <c r="D12" s="34">
        <v>6.0199999999999997E-2</v>
      </c>
      <c r="E12" s="34">
        <v>63.82</v>
      </c>
      <c r="F12" s="35" t="s">
        <v>88</v>
      </c>
    </row>
    <row r="13" spans="1:6" x14ac:dyDescent="0.25">
      <c r="A13" s="25" t="s">
        <v>4</v>
      </c>
      <c r="B13" s="25" t="s">
        <v>82</v>
      </c>
      <c r="C13" s="25">
        <v>56</v>
      </c>
      <c r="D13" s="25">
        <v>7.1400000000000005E-2</v>
      </c>
      <c r="E13" s="25">
        <v>62.24</v>
      </c>
      <c r="F13" s="26" t="s">
        <v>89</v>
      </c>
    </row>
    <row r="14" spans="1:6" x14ac:dyDescent="0.25">
      <c r="A14" s="34" t="s">
        <v>4</v>
      </c>
      <c r="B14" s="34" t="s">
        <v>84</v>
      </c>
      <c r="C14" s="34">
        <v>91</v>
      </c>
      <c r="D14" s="34">
        <v>0.1099</v>
      </c>
      <c r="E14" s="34">
        <v>64.2</v>
      </c>
      <c r="F14" s="35" t="s">
        <v>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Normal="100" workbookViewId="0">
      <selection activeCell="A2" sqref="A2"/>
    </sheetView>
  </sheetViews>
  <sheetFormatPr defaultColWidth="8.7109375" defaultRowHeight="15" x14ac:dyDescent="0.25"/>
  <cols>
    <col min="1" max="1" width="28" customWidth="1"/>
    <col min="2" max="3" width="16" customWidth="1"/>
    <col min="4" max="4" width="14" customWidth="1"/>
    <col min="5" max="5" width="20" customWidth="1"/>
    <col min="6" max="6" width="10" customWidth="1"/>
    <col min="7" max="7" width="50" customWidth="1"/>
  </cols>
  <sheetData>
    <row r="1" spans="1:7" ht="15.75" x14ac:dyDescent="0.25">
      <c r="A1" s="36" t="s">
        <v>91</v>
      </c>
    </row>
    <row r="2" spans="1:7" x14ac:dyDescent="0.25">
      <c r="A2" s="37"/>
    </row>
    <row r="4" spans="1:7" ht="25.5" x14ac:dyDescent="0.25">
      <c r="A4" s="38" t="s">
        <v>92</v>
      </c>
      <c r="B4" s="38" t="s">
        <v>93</v>
      </c>
      <c r="C4" s="38" t="s">
        <v>94</v>
      </c>
      <c r="D4" s="38" t="s">
        <v>95</v>
      </c>
      <c r="E4" s="38" t="s">
        <v>96</v>
      </c>
      <c r="F4" s="38" t="s">
        <v>97</v>
      </c>
      <c r="G4" s="38" t="s">
        <v>98</v>
      </c>
    </row>
    <row r="5" spans="1:7" ht="24" x14ac:dyDescent="0.25">
      <c r="A5" s="25" t="s">
        <v>28</v>
      </c>
      <c r="B5" s="25">
        <v>0</v>
      </c>
      <c r="C5" s="25">
        <v>4.1999999999999997E-3</v>
      </c>
      <c r="D5" s="25">
        <v>4.1999999999999997E-3</v>
      </c>
      <c r="E5" s="25" t="s">
        <v>99</v>
      </c>
      <c r="F5" s="39" t="s">
        <v>100</v>
      </c>
      <c r="G5" s="26" t="s">
        <v>101</v>
      </c>
    </row>
    <row r="6" spans="1:7" ht="24" x14ac:dyDescent="0.25">
      <c r="A6" s="40" t="s">
        <v>31</v>
      </c>
      <c r="B6" s="40">
        <v>0.1472</v>
      </c>
      <c r="C6" s="40">
        <v>0.24759999999999999</v>
      </c>
      <c r="D6" s="40">
        <v>0.1004</v>
      </c>
      <c r="E6" s="40" t="s">
        <v>102</v>
      </c>
      <c r="F6" s="41" t="s">
        <v>103</v>
      </c>
      <c r="G6" s="42" t="s">
        <v>104</v>
      </c>
    </row>
    <row r="7" spans="1:7" ht="24" x14ac:dyDescent="0.25">
      <c r="A7" s="25" t="s">
        <v>37</v>
      </c>
      <c r="B7" s="25">
        <v>8.86</v>
      </c>
      <c r="C7" s="25">
        <v>6.4</v>
      </c>
      <c r="D7" s="25">
        <v>-2.46</v>
      </c>
      <c r="E7" s="25" t="s">
        <v>105</v>
      </c>
      <c r="F7" s="43" t="s">
        <v>106</v>
      </c>
      <c r="G7" s="26" t="s">
        <v>107</v>
      </c>
    </row>
    <row r="8" spans="1:7" ht="24" x14ac:dyDescent="0.25">
      <c r="A8" s="40" t="s">
        <v>108</v>
      </c>
      <c r="B8" s="40">
        <v>1630.1</v>
      </c>
      <c r="C8" s="40">
        <v>770.41</v>
      </c>
      <c r="D8" s="40">
        <v>-859.69</v>
      </c>
      <c r="E8" s="40" t="s">
        <v>109</v>
      </c>
      <c r="F8" s="41" t="s">
        <v>103</v>
      </c>
      <c r="G8" s="42" t="s">
        <v>110</v>
      </c>
    </row>
    <row r="9" spans="1:7" x14ac:dyDescent="0.25">
      <c r="A9" s="25" t="s">
        <v>34</v>
      </c>
      <c r="B9" s="25">
        <v>57.03</v>
      </c>
      <c r="C9" s="25">
        <v>62.93</v>
      </c>
      <c r="D9" s="25">
        <v>5.91</v>
      </c>
      <c r="E9" s="25" t="s">
        <v>111</v>
      </c>
      <c r="F9" s="43" t="s">
        <v>106</v>
      </c>
      <c r="G9" s="26" t="s">
        <v>112</v>
      </c>
    </row>
    <row r="10" spans="1:7" x14ac:dyDescent="0.25">
      <c r="A10" s="40" t="s">
        <v>113</v>
      </c>
      <c r="B10" s="40">
        <v>3.3799999999999997E-2</v>
      </c>
      <c r="C10" s="40">
        <v>5.0299999999999997E-2</v>
      </c>
      <c r="D10" s="40">
        <v>1.6500000000000001E-2</v>
      </c>
      <c r="E10" s="40" t="s">
        <v>114</v>
      </c>
      <c r="F10" s="43" t="s">
        <v>106</v>
      </c>
      <c r="G10" s="42" t="s">
        <v>115</v>
      </c>
    </row>
    <row r="12" spans="1:7" x14ac:dyDescent="0.25">
      <c r="A12" s="29" t="s">
        <v>116</v>
      </c>
      <c r="B12" s="3">
        <f>COUNTIF(F5:F10,"FLAG")</f>
        <v>2</v>
      </c>
    </row>
    <row r="13" spans="1:7" x14ac:dyDescent="0.25">
      <c r="A13" s="29" t="s">
        <v>117</v>
      </c>
      <c r="B13" s="3">
        <f>COUNTIF(F5:F10,"WATCH")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Overall_Summary</vt:lpstr>
      <vt:lpstr>Segment_Region</vt:lpstr>
      <vt:lpstr>Segment_Device</vt:lpstr>
      <vt:lpstr>Segment_Traffic</vt:lpstr>
      <vt:lpstr>Guardrail_Metrics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2026-06-28T14:31:17Z</dcterms:created>
  <dcterms:modified xsi:type="dcterms:W3CDTF">2026-06-28T14:48:36Z</dcterms:modified>
  <dc:language>en-US</dc:language>
</cp:coreProperties>
</file>